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i\Dropbox\cove\SoilWise\WP2\GPkg\"/>
    </mc:Choice>
  </mc:AlternateContent>
  <xr:revisionPtr revIDLastSave="0" documentId="13_ncr:1_{ADCAC678-D2A4-4B24-80B1-976B28B4E40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UoM" sheetId="1" r:id="rId1"/>
  </sheets>
  <definedNames>
    <definedName name="_xlnm._FilterDatabase" localSheetId="0" hidden="1">UoM!$A$1:$I$32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I13" i="1"/>
</calcChain>
</file>

<file path=xl/sharedStrings.xml><?xml version="1.0" encoding="utf-8"?>
<sst xmlns="http://schemas.openxmlformats.org/spreadsheetml/2006/main" count="194" uniqueCount="149">
  <si>
    <t>id</t>
  </si>
  <si>
    <t>code</t>
  </si>
  <si>
    <t>label</t>
  </si>
  <si>
    <t>symbol</t>
  </si>
  <si>
    <t>qudt_unit</t>
  </si>
  <si>
    <t>conversionoffset</t>
  </si>
  <si>
    <t>conversionmultiplier</t>
  </si>
  <si>
    <t>Percent by volume</t>
  </si>
  <si>
    <t>[pH]</t>
  </si>
  <si>
    <t>pH [pH Units]</t>
  </si>
  <si>
    <t>pH</t>
  </si>
  <si>
    <t>PH</t>
  </si>
  <si>
    <t>a</t>
  </si>
  <si>
    <t>Year</t>
  </si>
  <si>
    <t>YR</t>
  </si>
  <si>
    <t>Bq/kg</t>
  </si>
  <si>
    <t>Becquerel per kilogram</t>
  </si>
  <si>
    <t>BQ-PER-KiloGM</t>
  </si>
  <si>
    <t>Cel</t>
  </si>
  <si>
    <t>Degree Celsius</t>
  </si>
  <si>
    <t>°C</t>
  </si>
  <si>
    <t>DEG_C</t>
  </si>
  <si>
    <t>cm</t>
  </si>
  <si>
    <t>Centimeter</t>
  </si>
  <si>
    <t>CentiM</t>
  </si>
  <si>
    <t>cm/h</t>
  </si>
  <si>
    <t>Centimeter per hour</t>
  </si>
  <si>
    <t>CentiM-PER-HR</t>
  </si>
  <si>
    <t>cm2</t>
  </si>
  <si>
    <t>Square centimeter</t>
  </si>
  <si>
    <t>cm²</t>
  </si>
  <si>
    <t>CentiM2</t>
  </si>
  <si>
    <t>Centimole of positive charge per kilogram</t>
  </si>
  <si>
    <t>CentiMOL-PER-KiloGM</t>
  </si>
  <si>
    <t>dag/kg</t>
  </si>
  <si>
    <t>Decagram per kilogram</t>
  </si>
  <si>
    <t>deg</t>
  </si>
  <si>
    <t>Degree (plane angle)</t>
  </si>
  <si>
    <t>°</t>
  </si>
  <si>
    <t>DEG</t>
  </si>
  <si>
    <t>dm2/m2</t>
  </si>
  <si>
    <t>Square decimeter per square meter</t>
  </si>
  <si>
    <t>dm²/m²</t>
  </si>
  <si>
    <t>dS/m</t>
  </si>
  <si>
    <t>Decisiemens per meter</t>
  </si>
  <si>
    <t>DeciS-PER-M</t>
  </si>
  <si>
    <t>g/cm2</t>
  </si>
  <si>
    <t>Gram per square centimeter</t>
  </si>
  <si>
    <t>g/cm²</t>
  </si>
  <si>
    <t>GM-PER-CentiM2</t>
  </si>
  <si>
    <t>g/cm3</t>
  </si>
  <si>
    <t>Gram per cubic centimeter</t>
  </si>
  <si>
    <t>g/cm³</t>
  </si>
  <si>
    <t>GM-PER-CentiM3</t>
  </si>
  <si>
    <t>g/g</t>
  </si>
  <si>
    <t>Gram per gram</t>
  </si>
  <si>
    <t>GM-PER-GM</t>
  </si>
  <si>
    <t>g/kg</t>
  </si>
  <si>
    <t>Gram per kilogram</t>
  </si>
  <si>
    <t>GM-PER-KiloGM</t>
  </si>
  <si>
    <t>J/m3.K</t>
  </si>
  <si>
    <t>Joule per cubic meter per Kelvin</t>
  </si>
  <si>
    <t>J/m³·K</t>
  </si>
  <si>
    <t>kPa</t>
  </si>
  <si>
    <t>Kilopascal</t>
  </si>
  <si>
    <t>KiloPA</t>
  </si>
  <si>
    <t>m</t>
  </si>
  <si>
    <t>Meter</t>
  </si>
  <si>
    <t>M</t>
  </si>
  <si>
    <t>m/m</t>
  </si>
  <si>
    <t>Meter per meter (ratio)</t>
  </si>
  <si>
    <t>m3/kg</t>
  </si>
  <si>
    <t>Cubic meter per kilogram</t>
  </si>
  <si>
    <t>m³/kg</t>
  </si>
  <si>
    <t>M3-PER-KiloGM</t>
  </si>
  <si>
    <t>mg/kg</t>
  </si>
  <si>
    <t>Milligram per kilogram</t>
  </si>
  <si>
    <t>MilliGM-PER-KiloGM</t>
  </si>
  <si>
    <t>mg/L</t>
  </si>
  <si>
    <t>Milligram per liter</t>
  </si>
  <si>
    <t>MilliGM-PER-L</t>
  </si>
  <si>
    <t>mm</t>
  </si>
  <si>
    <t>Millimeter</t>
  </si>
  <si>
    <t>MilliM</t>
  </si>
  <si>
    <t>mm/m</t>
  </si>
  <si>
    <t>Millimeter per meter</t>
  </si>
  <si>
    <t>MilliM-PER-M</t>
  </si>
  <si>
    <t>Millimole of positive charge per kilogram</t>
  </si>
  <si>
    <t>MilliMOL-PER-KiloGM</t>
  </si>
  <si>
    <t>Microgram per square centimeter per minute</t>
  </si>
  <si>
    <t>M2</t>
  </si>
  <si>
    <t>KiloGM-PER-KiloGM</t>
  </si>
  <si>
    <t>M2-PER-M2</t>
  </si>
  <si>
    <t>M3-PER-M3</t>
  </si>
  <si>
    <t>MOL-PER-KiloGM</t>
  </si>
  <si>
    <t>RAD</t>
  </si>
  <si>
    <t>S-PER-M</t>
  </si>
  <si>
    <t>KiloGM-PER-M2</t>
  </si>
  <si>
    <t>KiloGM-PER-M3</t>
  </si>
  <si>
    <t>J-PER-M3-K</t>
  </si>
  <si>
    <t>PA</t>
  </si>
  <si>
    <t xml:space="preserve">BQ </t>
  </si>
  <si>
    <t>daL/m3</t>
  </si>
  <si>
    <t>Kelvin</t>
  </si>
  <si>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scheme val="minor"/>
      </rPr>
      <t>g/cm2.min</t>
    </r>
  </si>
  <si>
    <t xml:space="preserve">Bq </t>
  </si>
  <si>
    <t>meq/100g</t>
  </si>
  <si>
    <t>Milliequivalent per 100 g</t>
  </si>
  <si>
    <t>MilliEQ-PER-HectoGM</t>
  </si>
  <si>
    <t xml:space="preserve">Becquerel </t>
  </si>
  <si>
    <t>base_qudt_unit</t>
  </si>
  <si>
    <t>base_qudt_label</t>
  </si>
  <si>
    <t>K</t>
  </si>
  <si>
    <t>Kilogram per Kilogram</t>
  </si>
  <si>
    <t>Square Metre per Square Metre</t>
  </si>
  <si>
    <t>Cubic Metre per Cubic Metre</t>
  </si>
  <si>
    <t>KiloGM-PER-M2-SEC</t>
  </si>
  <si>
    <t>Becquerel per Kilogram</t>
  </si>
  <si>
    <t>Kilogram per Square Metre Second</t>
  </si>
  <si>
    <t>M-PER-SEC</t>
  </si>
  <si>
    <t>Metre per Second</t>
  </si>
  <si>
    <t>Square Metre</t>
  </si>
  <si>
    <t>Mole per Kilogram</t>
  </si>
  <si>
    <t>Radian</t>
  </si>
  <si>
    <t>Siemens per Metre</t>
  </si>
  <si>
    <t>Kilogram per Square Metre</t>
  </si>
  <si>
    <t>Kilogram per Cubic Metre</t>
  </si>
  <si>
    <t>Joule per Cubic Metre Kelvin</t>
  </si>
  <si>
    <t>Pascal</t>
  </si>
  <si>
    <t>Metre</t>
  </si>
  <si>
    <t>M-PER-M doesn't exist in QUDT, but MilliM-PER-M does</t>
  </si>
  <si>
    <t>Millimetre per Metre</t>
  </si>
  <si>
    <t>no idea where MilliGM-PER-KiloGM comes from, is neither source nor target</t>
  </si>
  <si>
    <t>Cubic Metre per Kilogram</t>
  </si>
  <si>
    <t>Milliequivalent per Hectogram</t>
  </si>
  <si>
    <t>Becquerel</t>
  </si>
  <si>
    <t>I'd be REALLY careful when offering to convert between seconds and years!!! Leapseconds are a nightmare, I propose leaving years as years!</t>
  </si>
  <si>
    <t>Y</t>
  </si>
  <si>
    <t>J-PER-CentiM3-K</t>
  </si>
  <si>
    <t>Acidity</t>
  </si>
  <si>
    <t>Comment KS</t>
  </si>
  <si>
    <t>ug/cm²·min</t>
  </si>
  <si>
    <t>nmol/g·h</t>
  </si>
  <si>
    <t>Nanomole per Gram Hour</t>
  </si>
  <si>
    <t>nmol.g-1.h-1</t>
  </si>
  <si>
    <t>NanoMOL-PER-GM-HR</t>
  </si>
  <si>
    <t>Mole per Second Kilogram</t>
  </si>
  <si>
    <t>mmol/kg</t>
  </si>
  <si>
    <t>cmol/kg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</si>
</sst>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  <font>
      <strike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29">
    <xf numFmtId="0" fontId="0" fillId="0" borderId="0" xfId="0"/>
    <xf numFmtId="0" fontId="0" fillId="0" borderId="10" xfId="0" applyBorder="1"/>
    <xf numFmtId="0" fontId="4" fillId="33" borderId="10" xfId="0" applyFont="1" applyFill="1" applyBorder="1"/>
    <xf numFmtId="0" fontId="0" fillId="33" borderId="10" xfId="0" applyFill="1" applyBorder="1"/>
    <xf numFmtId="0" fontId="23" fillId="33" borderId="10" xfId="0" applyFont="1" applyFill="1" applyBorder="1" applyAlignment="1">
      <alignment wrapText="1"/>
    </xf>
    <xf numFmtId="0" fontId="22" fillId="33" borderId="10" xfId="0" applyFont="1" applyFill="1" applyBorder="1"/>
    <xf numFmtId="0" fontId="0" fillId="0" borderId="11" xfId="0" applyBorder="1"/>
    <xf numFmtId="0" fontId="0" fillId="0" borderId="12" xfId="0" applyBorder="1"/>
    <xf numFmtId="0" fontId="0" fillId="33" borderId="13" xfId="0" applyFill="1" applyBorder="1"/>
    <xf numFmtId="0" fontId="23" fillId="33" borderId="13" xfId="0" applyFont="1" applyFill="1" applyBorder="1" applyAlignment="1">
      <alignment wrapText="1"/>
    </xf>
    <xf numFmtId="11" fontId="23" fillId="33" borderId="13" xfId="0" applyNumberFormat="1" applyFont="1" applyFill="1" applyBorder="1"/>
    <xf numFmtId="0" fontId="23" fillId="33" borderId="13" xfId="0" applyFont="1" applyFill="1" applyBorder="1"/>
    <xf numFmtId="0" fontId="0" fillId="0" borderId="14" xfId="0" applyBorder="1"/>
    <xf numFmtId="0" fontId="4" fillId="33" borderId="15" xfId="0" applyFont="1" applyFill="1" applyBorder="1"/>
    <xf numFmtId="0" fontId="23" fillId="33" borderId="15" xfId="0" applyFont="1" applyFill="1" applyBorder="1" applyAlignment="1">
      <alignment wrapText="1"/>
    </xf>
    <xf numFmtId="0" fontId="3" fillId="33" borderId="10" xfId="0" applyFont="1" applyFill="1" applyBorder="1"/>
    <xf numFmtId="0" fontId="2" fillId="33" borderId="15" xfId="0" applyFont="1" applyFill="1" applyBorder="1"/>
    <xf numFmtId="0" fontId="2" fillId="34" borderId="15" xfId="0" applyFont="1" applyFill="1" applyBorder="1"/>
    <xf numFmtId="0" fontId="23" fillId="35" borderId="15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5" fillId="33" borderId="10" xfId="0" applyFont="1" applyFill="1" applyBorder="1"/>
    <xf numFmtId="0" fontId="2" fillId="33" borderId="10" xfId="0" applyFont="1" applyFill="1" applyBorder="1"/>
    <xf numFmtId="0" fontId="0" fillId="0" borderId="16" xfId="0" applyBorder="1"/>
    <xf numFmtId="0" fontId="0" fillId="0" borderId="0" xfId="0"/>
    <xf numFmtId="0" fontId="0" fillId="33" borderId="10" xfId="0" applyFill="1" applyBorder="1"/>
    <xf numFmtId="0" fontId="22" fillId="33" borderId="10" xfId="0" applyFont="1" applyFill="1" applyBorder="1"/>
    <xf numFmtId="0" fontId="23" fillId="33" borderId="13" xfId="0" applyFont="1" applyFill="1" applyBorder="1"/>
    <xf numFmtId="0" fontId="1" fillId="33" borderId="15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80" zoomScaleNormal="80" zoomScaleSheetLayoutView="100" workbookViewId="0">
      <selection activeCell="I33" sqref="I33"/>
    </sheetView>
  </sheetViews>
  <sheetFormatPr defaultRowHeight="15"/>
  <cols>
    <col min="1" max="1" width="6.5703125" customWidth="1"/>
    <col min="2" max="2" width="11.7109375" bestFit="1" customWidth="1"/>
    <col min="3" max="3" width="41.85546875" bestFit="1" customWidth="1"/>
    <col min="4" max="4" width="17.28515625" customWidth="1"/>
    <col min="5" max="7" width="35.28515625" customWidth="1"/>
    <col min="8" max="8" width="18.140625" bestFit="1" customWidth="1"/>
    <col min="9" max="9" width="21.7109375" bestFit="1" customWidth="1"/>
    <col min="10" max="10" width="70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110</v>
      </c>
      <c r="G1" s="12" t="s">
        <v>111</v>
      </c>
      <c r="H1" s="6" t="s">
        <v>5</v>
      </c>
      <c r="I1" s="7" t="s">
        <v>6</v>
      </c>
      <c r="J1" s="23" t="s">
        <v>140</v>
      </c>
    </row>
    <row r="2" spans="1:10" ht="30.75" customHeight="1">
      <c r="A2" s="3">
        <v>1</v>
      </c>
      <c r="B2" s="3" t="s">
        <v>34</v>
      </c>
      <c r="C2" s="3" t="s">
        <v>35</v>
      </c>
      <c r="D2" s="3" t="s">
        <v>34</v>
      </c>
      <c r="E2" s="21"/>
      <c r="F2" s="16" t="s">
        <v>91</v>
      </c>
      <c r="G2" s="16" t="s">
        <v>113</v>
      </c>
      <c r="H2" s="3">
        <v>0</v>
      </c>
      <c r="I2" s="8">
        <v>0.01</v>
      </c>
      <c r="J2" s="19" t="s">
        <v>132</v>
      </c>
    </row>
    <row r="3" spans="1:10">
      <c r="A3" s="3">
        <v>2</v>
      </c>
      <c r="B3" s="3" t="s">
        <v>8</v>
      </c>
      <c r="C3" s="3" t="s">
        <v>9</v>
      </c>
      <c r="D3" s="3" t="s">
        <v>10</v>
      </c>
      <c r="E3" s="22" t="s">
        <v>11</v>
      </c>
      <c r="F3" s="17" t="s">
        <v>11</v>
      </c>
      <c r="G3" s="16" t="s">
        <v>139</v>
      </c>
      <c r="H3" s="3">
        <v>0</v>
      </c>
      <c r="I3" s="9">
        <v>1</v>
      </c>
    </row>
    <row r="4" spans="1:10">
      <c r="A4" s="3">
        <v>3</v>
      </c>
      <c r="B4" s="3" t="s">
        <v>40</v>
      </c>
      <c r="C4" s="3" t="s">
        <v>41</v>
      </c>
      <c r="D4" s="3" t="s">
        <v>42</v>
      </c>
      <c r="E4" s="3"/>
      <c r="F4" s="16" t="s">
        <v>92</v>
      </c>
      <c r="G4" s="16" t="s">
        <v>114</v>
      </c>
      <c r="H4" s="3">
        <v>0</v>
      </c>
      <c r="I4" s="8">
        <v>0.01</v>
      </c>
    </row>
    <row r="5" spans="1:10">
      <c r="A5" s="3">
        <v>4</v>
      </c>
      <c r="B5" s="2" t="s">
        <v>102</v>
      </c>
      <c r="C5" s="3" t="s">
        <v>7</v>
      </c>
      <c r="D5" s="2" t="s">
        <v>102</v>
      </c>
      <c r="E5" s="22"/>
      <c r="F5" s="13" t="s">
        <v>93</v>
      </c>
      <c r="G5" s="16" t="s">
        <v>115</v>
      </c>
      <c r="H5" s="3">
        <v>0</v>
      </c>
      <c r="I5" s="8">
        <v>0.01</v>
      </c>
    </row>
    <row r="6" spans="1:10">
      <c r="A6" s="3">
        <v>5</v>
      </c>
      <c r="B6" s="3" t="s">
        <v>18</v>
      </c>
      <c r="C6" s="3" t="s">
        <v>19</v>
      </c>
      <c r="D6" s="3" t="s">
        <v>20</v>
      </c>
      <c r="E6" s="22" t="s">
        <v>21</v>
      </c>
      <c r="F6" s="17" t="s">
        <v>112</v>
      </c>
      <c r="G6" s="16" t="s">
        <v>103</v>
      </c>
      <c r="H6" s="3">
        <v>273.14999999999998</v>
      </c>
      <c r="I6" s="8">
        <v>1</v>
      </c>
    </row>
    <row r="7" spans="1:10" ht="15" customHeight="1">
      <c r="A7" s="3">
        <v>6</v>
      </c>
      <c r="B7" s="2" t="s">
        <v>104</v>
      </c>
      <c r="C7" s="3" t="s">
        <v>89</v>
      </c>
      <c r="D7" s="3" t="s">
        <v>141</v>
      </c>
      <c r="E7" s="4"/>
      <c r="F7" s="17" t="s">
        <v>116</v>
      </c>
      <c r="G7" s="14" t="s">
        <v>118</v>
      </c>
      <c r="H7" s="5">
        <v>0</v>
      </c>
      <c r="I7" s="10">
        <v>1.6666666666666666E-4</v>
      </c>
    </row>
    <row r="8" spans="1:10">
      <c r="A8" s="3">
        <v>7</v>
      </c>
      <c r="B8" s="3" t="s">
        <v>15</v>
      </c>
      <c r="C8" s="2" t="s">
        <v>16</v>
      </c>
      <c r="D8" s="3" t="s">
        <v>15</v>
      </c>
      <c r="E8" s="3" t="s">
        <v>17</v>
      </c>
      <c r="F8" s="16" t="s">
        <v>17</v>
      </c>
      <c r="G8" s="16" t="s">
        <v>117</v>
      </c>
      <c r="H8" s="3">
        <v>0</v>
      </c>
      <c r="I8" s="8">
        <v>1</v>
      </c>
    </row>
    <row r="9" spans="1:10">
      <c r="A9" s="3">
        <v>8</v>
      </c>
      <c r="B9" s="3" t="s">
        <v>22</v>
      </c>
      <c r="C9" s="3" t="s">
        <v>23</v>
      </c>
      <c r="D9" s="3" t="s">
        <v>22</v>
      </c>
      <c r="E9" s="3" t="s">
        <v>24</v>
      </c>
      <c r="F9" s="13" t="s">
        <v>68</v>
      </c>
      <c r="G9" s="14" t="s">
        <v>129</v>
      </c>
      <c r="H9" s="3">
        <v>0</v>
      </c>
      <c r="I9" s="8">
        <v>0.01</v>
      </c>
    </row>
    <row r="10" spans="1:10">
      <c r="A10" s="3">
        <v>9</v>
      </c>
      <c r="B10" s="3" t="s">
        <v>25</v>
      </c>
      <c r="C10" s="3" t="s">
        <v>26</v>
      </c>
      <c r="D10" s="3" t="s">
        <v>25</v>
      </c>
      <c r="E10" s="3" t="s">
        <v>27</v>
      </c>
      <c r="F10" s="17" t="s">
        <v>119</v>
      </c>
      <c r="G10" s="16" t="s">
        <v>120</v>
      </c>
      <c r="H10" s="3">
        <v>0</v>
      </c>
      <c r="I10" s="8">
        <v>2.7777777777777779E-6</v>
      </c>
    </row>
    <row r="11" spans="1:10">
      <c r="A11" s="3">
        <v>10</v>
      </c>
      <c r="B11" s="3" t="s">
        <v>28</v>
      </c>
      <c r="C11" s="3" t="s">
        <v>29</v>
      </c>
      <c r="D11" s="3" t="s">
        <v>30</v>
      </c>
      <c r="E11" s="22" t="s">
        <v>31</v>
      </c>
      <c r="F11" s="13" t="s">
        <v>90</v>
      </c>
      <c r="G11" s="16" t="s">
        <v>121</v>
      </c>
      <c r="H11" s="3">
        <v>0</v>
      </c>
      <c r="I11" s="8">
        <v>1E-4</v>
      </c>
    </row>
    <row r="12" spans="1:10">
      <c r="A12" s="3">
        <v>11</v>
      </c>
      <c r="B12" s="3" t="s">
        <v>148</v>
      </c>
      <c r="C12" s="3" t="s">
        <v>32</v>
      </c>
      <c r="D12" s="3" t="s">
        <v>148</v>
      </c>
      <c r="E12" s="22" t="s">
        <v>33</v>
      </c>
      <c r="F12" s="16" t="s">
        <v>94</v>
      </c>
      <c r="G12" s="16" t="s">
        <v>122</v>
      </c>
      <c r="H12" s="3">
        <v>0</v>
      </c>
      <c r="I12" s="8">
        <v>0.01</v>
      </c>
    </row>
    <row r="13" spans="1:10">
      <c r="A13" s="3">
        <v>12</v>
      </c>
      <c r="B13" s="3" t="s">
        <v>36</v>
      </c>
      <c r="C13" s="3" t="s">
        <v>37</v>
      </c>
      <c r="D13" s="3" t="s">
        <v>38</v>
      </c>
      <c r="E13" s="3" t="s">
        <v>39</v>
      </c>
      <c r="F13" s="16" t="s">
        <v>95</v>
      </c>
      <c r="G13" s="16" t="s">
        <v>123</v>
      </c>
      <c r="H13" s="3">
        <v>0</v>
      </c>
      <c r="I13" s="8">
        <f>PRODUCT(PI()/180)</f>
        <v>1.7453292519943295E-2</v>
      </c>
    </row>
    <row r="14" spans="1:10">
      <c r="A14" s="3">
        <v>13</v>
      </c>
      <c r="B14" s="3" t="s">
        <v>43</v>
      </c>
      <c r="C14" s="3" t="s">
        <v>44</v>
      </c>
      <c r="D14" s="3" t="s">
        <v>43</v>
      </c>
      <c r="E14" s="22" t="s">
        <v>45</v>
      </c>
      <c r="F14" s="13" t="s">
        <v>96</v>
      </c>
      <c r="G14" s="16" t="s">
        <v>124</v>
      </c>
      <c r="H14" s="3">
        <v>0</v>
      </c>
      <c r="I14" s="8">
        <v>0.1</v>
      </c>
    </row>
    <row r="15" spans="1:10" ht="15" customHeight="1">
      <c r="A15" s="3">
        <v>14</v>
      </c>
      <c r="B15" s="3" t="s">
        <v>46</v>
      </c>
      <c r="C15" s="3" t="s">
        <v>47</v>
      </c>
      <c r="D15" s="3" t="s">
        <v>48</v>
      </c>
      <c r="E15" s="4" t="s">
        <v>49</v>
      </c>
      <c r="F15" s="14" t="s">
        <v>97</v>
      </c>
      <c r="G15" s="14" t="s">
        <v>125</v>
      </c>
      <c r="H15" s="5">
        <v>0</v>
      </c>
      <c r="I15" s="11">
        <v>10</v>
      </c>
    </row>
    <row r="16" spans="1:10" ht="15.75" customHeight="1">
      <c r="A16" s="3">
        <v>15</v>
      </c>
      <c r="B16" s="3" t="s">
        <v>50</v>
      </c>
      <c r="C16" s="3" t="s">
        <v>51</v>
      </c>
      <c r="D16" s="3" t="s">
        <v>52</v>
      </c>
      <c r="E16" s="22" t="s">
        <v>53</v>
      </c>
      <c r="F16" s="13" t="s">
        <v>98</v>
      </c>
      <c r="G16" s="16" t="s">
        <v>126</v>
      </c>
      <c r="H16" s="3">
        <v>0</v>
      </c>
      <c r="I16" s="8">
        <v>1000</v>
      </c>
    </row>
    <row r="17" spans="1:10" ht="15" customHeight="1">
      <c r="A17" s="3">
        <v>16</v>
      </c>
      <c r="B17" s="3" t="s">
        <v>54</v>
      </c>
      <c r="C17" s="3" t="s">
        <v>55</v>
      </c>
      <c r="D17" s="3" t="s">
        <v>54</v>
      </c>
      <c r="E17" s="4" t="s">
        <v>56</v>
      </c>
      <c r="F17" s="14" t="s">
        <v>91</v>
      </c>
      <c r="G17" s="14" t="s">
        <v>113</v>
      </c>
      <c r="H17" s="5">
        <v>0</v>
      </c>
      <c r="I17" s="11">
        <v>1</v>
      </c>
    </row>
    <row r="18" spans="1:10">
      <c r="A18" s="3">
        <v>17</v>
      </c>
      <c r="B18" s="3" t="s">
        <v>57</v>
      </c>
      <c r="C18" s="3" t="s">
        <v>58</v>
      </c>
      <c r="D18" s="3" t="s">
        <v>57</v>
      </c>
      <c r="E18" s="4" t="s">
        <v>59</v>
      </c>
      <c r="F18" s="14" t="s">
        <v>91</v>
      </c>
      <c r="G18" s="14" t="s">
        <v>113</v>
      </c>
      <c r="H18" s="5">
        <v>0</v>
      </c>
      <c r="I18" s="8">
        <f>PRODUCT(1/1000)</f>
        <v>1E-3</v>
      </c>
    </row>
    <row r="19" spans="1:10">
      <c r="A19" s="3">
        <v>18</v>
      </c>
      <c r="B19" s="3" t="s">
        <v>60</v>
      </c>
      <c r="C19" s="3" t="s">
        <v>61</v>
      </c>
      <c r="D19" s="3" t="s">
        <v>62</v>
      </c>
      <c r="E19" s="4" t="s">
        <v>138</v>
      </c>
      <c r="F19" s="14" t="s">
        <v>99</v>
      </c>
      <c r="G19" s="14" t="s">
        <v>127</v>
      </c>
      <c r="H19" s="5">
        <v>0</v>
      </c>
      <c r="I19" s="11">
        <v>1</v>
      </c>
    </row>
    <row r="20" spans="1:10" s="24" customFormat="1">
      <c r="A20" s="25">
        <v>19</v>
      </c>
      <c r="B20" s="25" t="s">
        <v>142</v>
      </c>
      <c r="C20" s="25" t="s">
        <v>143</v>
      </c>
      <c r="D20" s="25" t="s">
        <v>144</v>
      </c>
      <c r="E20" s="25" t="s">
        <v>145</v>
      </c>
      <c r="F20" s="25" t="s">
        <v>145</v>
      </c>
      <c r="G20" s="28" t="s">
        <v>146</v>
      </c>
      <c r="H20" s="26">
        <v>0</v>
      </c>
      <c r="I20" s="27">
        <v>1</v>
      </c>
    </row>
    <row r="21" spans="1:10">
      <c r="A21" s="3">
        <v>20</v>
      </c>
      <c r="B21" s="3" t="s">
        <v>63</v>
      </c>
      <c r="C21" s="3" t="s">
        <v>64</v>
      </c>
      <c r="D21" s="3" t="s">
        <v>63</v>
      </c>
      <c r="E21" s="4" t="s">
        <v>65</v>
      </c>
      <c r="F21" s="14" t="s">
        <v>100</v>
      </c>
      <c r="G21" s="14" t="s">
        <v>128</v>
      </c>
      <c r="H21" s="5">
        <v>0</v>
      </c>
      <c r="I21" s="11">
        <v>1000</v>
      </c>
    </row>
    <row r="22" spans="1:10">
      <c r="A22" s="3">
        <v>21</v>
      </c>
      <c r="B22" s="3" t="s">
        <v>66</v>
      </c>
      <c r="C22" s="3" t="s">
        <v>67</v>
      </c>
      <c r="D22" s="3" t="s">
        <v>66</v>
      </c>
      <c r="E22" s="4" t="s">
        <v>68</v>
      </c>
      <c r="F22" s="14" t="s">
        <v>68</v>
      </c>
      <c r="G22" s="14" t="s">
        <v>129</v>
      </c>
      <c r="H22" s="5">
        <v>0</v>
      </c>
      <c r="I22" s="11">
        <v>1</v>
      </c>
    </row>
    <row r="23" spans="1:10">
      <c r="A23" s="3">
        <v>22</v>
      </c>
      <c r="B23" s="3" t="s">
        <v>69</v>
      </c>
      <c r="C23" s="3" t="s">
        <v>70</v>
      </c>
      <c r="D23" s="3" t="s">
        <v>69</v>
      </c>
      <c r="E23" s="4"/>
      <c r="F23" s="18" t="s">
        <v>86</v>
      </c>
      <c r="G23" s="18" t="s">
        <v>131</v>
      </c>
      <c r="H23" s="18">
        <v>0</v>
      </c>
      <c r="I23" s="18">
        <v>1000</v>
      </c>
      <c r="J23" s="20" t="s">
        <v>130</v>
      </c>
    </row>
    <row r="24" spans="1:10">
      <c r="A24" s="3">
        <v>23</v>
      </c>
      <c r="B24" s="3" t="s">
        <v>71</v>
      </c>
      <c r="C24" s="3" t="s">
        <v>72</v>
      </c>
      <c r="D24" s="3" t="s">
        <v>73</v>
      </c>
      <c r="E24" s="4" t="s">
        <v>74</v>
      </c>
      <c r="F24" s="14" t="s">
        <v>74</v>
      </c>
      <c r="G24" s="14" t="s">
        <v>133</v>
      </c>
      <c r="H24" s="5">
        <v>0</v>
      </c>
      <c r="I24" s="11">
        <v>1</v>
      </c>
    </row>
    <row r="25" spans="1:10" ht="15.75" customHeight="1">
      <c r="A25" s="3">
        <v>24</v>
      </c>
      <c r="B25" s="3" t="s">
        <v>106</v>
      </c>
      <c r="C25" s="3" t="s">
        <v>107</v>
      </c>
      <c r="D25" s="3" t="s">
        <v>106</v>
      </c>
      <c r="E25" s="4" t="s">
        <v>108</v>
      </c>
      <c r="F25" s="4" t="s">
        <v>108</v>
      </c>
      <c r="G25" s="4" t="s">
        <v>134</v>
      </c>
      <c r="H25" s="5">
        <v>0</v>
      </c>
      <c r="I25" s="11">
        <v>1</v>
      </c>
    </row>
    <row r="26" spans="1:10" ht="15" customHeight="1">
      <c r="A26" s="3">
        <v>25</v>
      </c>
      <c r="B26" s="3" t="s">
        <v>75</v>
      </c>
      <c r="C26" s="3" t="s">
        <v>76</v>
      </c>
      <c r="D26" s="3" t="s">
        <v>75</v>
      </c>
      <c r="E26" s="4" t="s">
        <v>77</v>
      </c>
      <c r="F26" s="14" t="s">
        <v>91</v>
      </c>
      <c r="G26" s="14" t="s">
        <v>113</v>
      </c>
      <c r="H26" s="5">
        <v>0</v>
      </c>
      <c r="I26" s="11">
        <v>9.9999999999999995E-7</v>
      </c>
    </row>
    <row r="27" spans="1:10">
      <c r="A27" s="3">
        <v>26</v>
      </c>
      <c r="B27" s="3" t="s">
        <v>78</v>
      </c>
      <c r="C27" s="3" t="s">
        <v>79</v>
      </c>
      <c r="D27" s="3" t="s">
        <v>78</v>
      </c>
      <c r="E27" s="4" t="s">
        <v>80</v>
      </c>
      <c r="F27" s="14" t="s">
        <v>98</v>
      </c>
      <c r="G27" s="14" t="s">
        <v>126</v>
      </c>
      <c r="H27" s="5">
        <v>0</v>
      </c>
      <c r="I27" s="11">
        <v>1E-3</v>
      </c>
    </row>
    <row r="28" spans="1:10">
      <c r="A28" s="3">
        <v>27</v>
      </c>
      <c r="B28" s="3" t="s">
        <v>81</v>
      </c>
      <c r="C28" s="3" t="s">
        <v>82</v>
      </c>
      <c r="D28" s="3" t="s">
        <v>81</v>
      </c>
      <c r="E28" s="4" t="s">
        <v>83</v>
      </c>
      <c r="F28" s="14" t="s">
        <v>68</v>
      </c>
      <c r="G28" s="14" t="s">
        <v>129</v>
      </c>
      <c r="H28" s="5">
        <v>0</v>
      </c>
      <c r="I28" s="11">
        <v>1E-3</v>
      </c>
    </row>
    <row r="29" spans="1:10">
      <c r="A29" s="3">
        <v>28</v>
      </c>
      <c r="B29" s="3" t="s">
        <v>84</v>
      </c>
      <c r="C29" s="3" t="s">
        <v>85</v>
      </c>
      <c r="D29" s="3" t="s">
        <v>84</v>
      </c>
      <c r="E29" s="4" t="s">
        <v>86</v>
      </c>
      <c r="F29" s="18" t="s">
        <v>86</v>
      </c>
      <c r="G29" s="18" t="s">
        <v>131</v>
      </c>
      <c r="H29" s="5">
        <v>0</v>
      </c>
      <c r="I29" s="11">
        <v>1</v>
      </c>
    </row>
    <row r="30" spans="1:10">
      <c r="A30" s="3">
        <v>29</v>
      </c>
      <c r="B30" s="3" t="s">
        <v>147</v>
      </c>
      <c r="C30" s="3" t="s">
        <v>87</v>
      </c>
      <c r="D30" s="3" t="s">
        <v>147</v>
      </c>
      <c r="E30" s="4" t="s">
        <v>88</v>
      </c>
      <c r="F30" s="14" t="s">
        <v>94</v>
      </c>
      <c r="G30" s="14" t="s">
        <v>122</v>
      </c>
      <c r="H30" s="5">
        <v>0</v>
      </c>
      <c r="I30" s="11">
        <v>1E-3</v>
      </c>
    </row>
    <row r="31" spans="1:10" ht="15.75" customHeight="1">
      <c r="A31" s="3">
        <v>30</v>
      </c>
      <c r="B31" s="2" t="s">
        <v>105</v>
      </c>
      <c r="C31" s="15" t="s">
        <v>109</v>
      </c>
      <c r="D31" s="2" t="s">
        <v>105</v>
      </c>
      <c r="E31" s="14" t="s">
        <v>101</v>
      </c>
      <c r="F31" s="14" t="s">
        <v>101</v>
      </c>
      <c r="G31" s="14" t="s">
        <v>135</v>
      </c>
      <c r="H31" s="5">
        <v>0</v>
      </c>
      <c r="I31" s="11">
        <v>1</v>
      </c>
    </row>
    <row r="32" spans="1:10" ht="30">
      <c r="A32" s="3">
        <v>31</v>
      </c>
      <c r="B32" s="3" t="s">
        <v>12</v>
      </c>
      <c r="C32" s="3" t="s">
        <v>13</v>
      </c>
      <c r="D32" s="3" t="s">
        <v>12</v>
      </c>
      <c r="E32" s="3" t="s">
        <v>14</v>
      </c>
      <c r="F32" s="17" t="s">
        <v>137</v>
      </c>
      <c r="G32" s="17" t="s">
        <v>13</v>
      </c>
      <c r="H32" s="5">
        <v>0</v>
      </c>
      <c r="I32" s="17">
        <v>1</v>
      </c>
      <c r="J32" s="19" t="s">
        <v>136</v>
      </c>
    </row>
  </sheetData>
  <autoFilter ref="A1:I32" xr:uid="{00000000-0001-0000-0000-000000000000}"/>
  <sortState xmlns:xlrd2="http://schemas.microsoft.com/office/spreadsheetml/2017/richdata2" ref="A2:I32">
    <sortCondition ref="A2:A32"/>
  </sortState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d51d17-bbc6-4561-bad9-1ecb28b6579b" xsi:nil="true"/>
    <lcf76f155ced4ddcb4097134ff3c332f xmlns="714bb49a-ac39-48ce-83d9-0378084804b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7D5B026269F94DBE823F8FE80C477F" ma:contentTypeVersion="14" ma:contentTypeDescription="Creare un nuovo documento." ma:contentTypeScope="" ma:versionID="9f1b2878ace78ee8de64f49557dac4b6">
  <xsd:schema xmlns:xsd="http://www.w3.org/2001/XMLSchema" xmlns:xs="http://www.w3.org/2001/XMLSchema" xmlns:p="http://schemas.microsoft.com/office/2006/metadata/properties" xmlns:ns2="714bb49a-ac39-48ce-83d9-0378084804bd" xmlns:ns3="dbd51d17-bbc6-4561-bad9-1ecb28b6579b" targetNamespace="http://schemas.microsoft.com/office/2006/metadata/properties" ma:root="true" ma:fieldsID="0b1e8190db55dc0d93a04cdb93e81372" ns2:_="" ns3:_="">
    <xsd:import namespace="714bb49a-ac39-48ce-83d9-0378084804bd"/>
    <xsd:import namespace="dbd51d17-bbc6-4561-bad9-1ecb28b657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bb49a-ac39-48ce-83d9-037808480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01ce8ef9-eba9-4a18-9b82-58e3bed703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51d17-bbc6-4561-bad9-1ecb28b657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d977ab9-0a86-4e22-9b66-0a0e50c30d5b}" ma:internalName="TaxCatchAll" ma:showField="CatchAllData" ma:web="dbd51d17-bbc6-4561-bad9-1ecb28b657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2A10EB-C398-447D-B82D-F30561A2B763}">
  <ds:schemaRefs>
    <ds:schemaRef ds:uri="http://schemas.microsoft.com/office/2006/metadata/properties"/>
    <ds:schemaRef ds:uri="http://schemas.microsoft.com/office/infopath/2007/PartnerControls"/>
    <ds:schemaRef ds:uri="dbd51d17-bbc6-4561-bad9-1ecb28b6579b"/>
    <ds:schemaRef ds:uri="714bb49a-ac39-48ce-83d9-0378084804bd"/>
  </ds:schemaRefs>
</ds:datastoreItem>
</file>

<file path=customXml/itemProps2.xml><?xml version="1.0" encoding="utf-8"?>
<ds:datastoreItem xmlns:ds="http://schemas.openxmlformats.org/officeDocument/2006/customXml" ds:itemID="{C9C9806D-31C3-4EA1-AA01-F81C42153A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bb49a-ac39-48ce-83d9-0378084804bd"/>
    <ds:schemaRef ds:uri="dbd51d17-bbc6-4561-bad9-1ecb28b65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B0B41C-4853-4EF7-AA0A-1F0BB91BF5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Fantappiè</dc:creator>
  <cp:keywords/>
  <dc:description/>
  <cp:lastModifiedBy>Kathi Schleidt</cp:lastModifiedBy>
  <cp:revision/>
  <dcterms:created xsi:type="dcterms:W3CDTF">2026-01-21T08:27:16Z</dcterms:created>
  <dcterms:modified xsi:type="dcterms:W3CDTF">2026-01-28T15:02:57Z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0x010100B27D5B026269F94DBE823F8FE80C477F</vt:lpwstr>
  </property>
  <property fmtid="{D5CDD505-2E9C-101B-9397-08002B2CF9AE}" pid="3" name="MediaServiceImageTags">
    <vt:lpwstr/>
  </property>
</Properties>
</file>